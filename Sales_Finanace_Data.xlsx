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hidePivotFieldList="1" defaultThemeVersion="164011"/>
  <bookViews>
    <workbookView xWindow="0" yWindow="0" windowWidth="22260" windowHeight="12645" firstSheet="1" activeTab="3"/>
  </bookViews>
  <sheets>
    <sheet name="Profit By Region" sheetId="2" r:id="rId1"/>
    <sheet name="Monthly Revenue Trend" sheetId="3" r:id="rId2"/>
    <sheet name="Profit By Product" sheetId="4" r:id="rId3"/>
    <sheet name="Raw Data" sheetId="1" r:id="rId4"/>
    <sheet name="Sheet5" sheetId="5" r:id="rId5"/>
  </sheets>
  <calcPr calcId="162913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  <c r="G3" i="1"/>
  <c r="G4" i="1"/>
  <c r="G5" i="1"/>
  <c r="G6" i="1"/>
  <c r="G7" i="1"/>
  <c r="G8" i="1"/>
  <c r="G9" i="1"/>
  <c r="G10" i="1"/>
  <c r="G11" i="1"/>
  <c r="G2" i="1"/>
  <c r="E12" i="1"/>
  <c r="E14" i="1" s="1"/>
  <c r="E15" i="1" s="1"/>
  <c r="E13" i="1"/>
</calcChain>
</file>

<file path=xl/sharedStrings.xml><?xml version="1.0" encoding="utf-8"?>
<sst xmlns="http://schemas.openxmlformats.org/spreadsheetml/2006/main" count="55" uniqueCount="31">
  <si>
    <t>Order_ID</t>
  </si>
  <si>
    <t>Date</t>
  </si>
  <si>
    <t>Region</t>
  </si>
  <si>
    <t>Product</t>
  </si>
  <si>
    <t>Revenue</t>
  </si>
  <si>
    <t>Cost</t>
  </si>
  <si>
    <t>East</t>
  </si>
  <si>
    <t>Mobile</t>
  </si>
  <si>
    <t>West</t>
  </si>
  <si>
    <t>Laptop</t>
  </si>
  <si>
    <t>North</t>
  </si>
  <si>
    <t>Tablet</t>
  </si>
  <si>
    <t>South</t>
  </si>
  <si>
    <t>total revenue</t>
  </si>
  <si>
    <t>total cost</t>
  </si>
  <si>
    <t>gross profit</t>
  </si>
  <si>
    <t>Profit Margin</t>
  </si>
  <si>
    <t>Months</t>
  </si>
  <si>
    <t>Row Labels</t>
  </si>
  <si>
    <t>Sum of gross profit</t>
  </si>
  <si>
    <t>Feb-23</t>
  </si>
  <si>
    <t>Jan-23</t>
  </si>
  <si>
    <t>Mar-23</t>
  </si>
  <si>
    <t>Sum of Revenue</t>
  </si>
  <si>
    <t>INSIGHTS :</t>
  </si>
  <si>
    <t>The company achieved an overall profit margin of 16.12%.</t>
  </si>
  <si>
    <t>This indicates potential seasonal demand or improved sales performance.</t>
  </si>
  <si>
    <t>The East region is the highest profit contributor, while revenue shows a consistent upward trend, peaking in March.</t>
  </si>
  <si>
    <t>Focusing on high-performing regions and sustaining March-level sales could improve overall profitability.</t>
  </si>
  <si>
    <t>Laptop sales generate the highest absolute profit,</t>
  </si>
  <si>
    <t>indicating premium products drive profitability.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</si>
</sst>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  <xf numFmtId="1" fontId="0" fillId="0" borderId="1" xfId="0" applyNumberFormat="1" applyBorder="1"/>
    <xf numFmtId="14" fontId="0" fillId="0" borderId="1" xfId="0" applyNumberFormat="1" applyBorder="1"/>
    <xf numFmtId="2" fontId="0" fillId="0" borderId="1" xfId="0" applyNumberFormat="1" applyBorder="1"/>
    <xf numFmtId="9" fontId="0" fillId="0" borderId="0" xfId="1" applyFont="1"/>
    <xf numFmtId="0" fontId="2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[Sales_Finanace_Data.csv.xlsx]Profit By Region!PivotTable1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Region'!$B$4:$B$7</c:f>
              <c:numCache>
                <c:formatCode>General</c:formatCode>
                <c:ptCount val="4"/>
                <c:pt idx="0">
                  <c:v>16500</c:v>
                </c:pt>
                <c:pt idx="1">
                  <c:v>11500</c:v>
                </c:pt>
                <c:pt idx="2">
                  <c:v>13000</c:v>
                </c:pt>
                <c:pt idx="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D-4AFB-B3D3-5455E09BDC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4894688"/>
        <c:axId val="374895520"/>
      </c:barChart>
      <c:catAx>
        <c:axId val="37489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95520"/>
        <c:crosses val="autoZero"/>
        <c:auto val="1"/>
        <c:lblAlgn val="ctr"/>
        <c:lblOffset val="100"/>
        <c:noMultiLvlLbl val="0"/>
      </c:catAx>
      <c:valAx>
        <c:axId val="37489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9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[Sales_Finanace_Data.csv.xlsx]Monthly Revenue Trend!PivotTable2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  <a:r>
              <a:rPr lang="en-US" baseline="0"/>
              <a:t>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 Trend'!$A$4:$A$6</c:f>
              <c:strCache>
                <c:ptCount val="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</c:strCache>
            </c:strRef>
          </c:cat>
          <c:val>
            <c:numRef>
              <c:f>'Monthly Revenue Trend'!$B$4:$B$6</c:f>
              <c:numCache>
                <c:formatCode>General</c:formatCode>
                <c:ptCount val="3"/>
                <c:pt idx="0">
                  <c:v>98000</c:v>
                </c:pt>
                <c:pt idx="1">
                  <c:v>104000</c:v>
                </c:pt>
                <c:pt idx="2">
                  <c:v>133000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F3F-4308-9C33-5D619C0FE73B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9705840"/>
        <c:axId val="369706672"/>
      </c:lineChart>
      <c:catAx>
        <c:axId val="36970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706672"/>
        <c:crosses val="autoZero"/>
        <c:auto val="1"/>
        <c:lblAlgn val="ctr"/>
        <c:lblOffset val="100"/>
        <c:noMultiLvlLbl val="0"/>
      </c:catAx>
      <c:valAx>
        <c:axId val="3697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70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[Sales_Finanace_Data.csv.xlsx]Profit By Product!PivotTable3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2828127734033246"/>
                  <c:h val="0.14913823272090987"/>
                </c:manualLayout>
              </c15:layout>
            </c:ext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2.777796004666083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10826771653543"/>
                  <c:h val="0.16302712160979876"/>
                </c:manualLayout>
              </c15:layout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6E-2"/>
              <c:y val="-6.48148148148147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22834645669292"/>
                  <c:h val="0.19418489355497229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45B-4ED1-B3C2-CA7162FA99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45B-4ED1-B3C2-CA7162FA99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45B-4ED1-B3C2-CA7162FA995F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2828127734033246"/>
                      <c:h val="0.1491382327209098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645B-4ED1-B3C2-CA7162FA995F}"/>
                </c:ext>
              </c:extLst>
            </c:dLbl>
            <c:dLbl>
              <c:idx val="1"/>
              <c:layout>
                <c:manualLayout>
                  <c:x val="-2.7777777777777776E-2"/>
                  <c:y val="-6.4814814814814728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222834645669292"/>
                      <c:h val="0.1941848935549722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645B-4ED1-B3C2-CA7162FA995F}"/>
                </c:ext>
              </c:extLst>
            </c:dLbl>
            <c:dLbl>
              <c:idx val="2"/>
              <c:layout>
                <c:manualLayout>
                  <c:x val="-0.05"/>
                  <c:y val="2.7777960046660836E-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1910826771653543"/>
                      <c:h val="0.1630271216097987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645B-4ED1-B3C2-CA7162FA995F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'Profit By Product'!$A$4:$A$6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'Profit By Product'!$B$4:$B$6</c:f>
              <c:numCache>
                <c:formatCode>General</c:formatCode>
                <c:ptCount val="3"/>
                <c:pt idx="0">
                  <c:v>23000</c:v>
                </c:pt>
                <c:pt idx="1">
                  <c:v>21500</c:v>
                </c:pt>
                <c:pt idx="2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5B-4ED1-B3C2-CA7162FA9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[Sales_Finanace_Data.csv.xlsx]Profit By Region!PivotTable1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Region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'Profit By Region'!$A$4:$A$7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'Profit By Region'!$B$4:$B$7</c:f>
              <c:numCache>
                <c:formatCode>General</c:formatCode>
                <c:ptCount val="4"/>
                <c:pt idx="0">
                  <c:v>16500</c:v>
                </c:pt>
                <c:pt idx="1">
                  <c:v>11500</c:v>
                </c:pt>
                <c:pt idx="2">
                  <c:v>13000</c:v>
                </c:pt>
                <c:pt idx="3">
                  <c:v>13000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F9-48FC-BCA1-770D608423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74894688"/>
        <c:axId val="374895520"/>
      </c:barChart>
      <c:catAx>
        <c:axId val="3748946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95520"/>
        <c:crosses val="autoZero"/>
        <c:auto val="1"/>
        <c:lblAlgn val="ctr"/>
        <c:lblOffset val="100"/>
        <c:noMultiLvlLbl val="0"/>
      </c:catAx>
      <c:valAx>
        <c:axId val="374895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48946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[Sales_Finanace_Data.csv.xlsx]Monthly Revenue Trend!PivotTable2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</a:t>
            </a:r>
            <a:r>
              <a:rPr lang="en-US" baseline="0"/>
              <a:t>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'Monthly Revenue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'Monthly Revenue Trend'!$A$4:$A$6</c:f>
              <c:strCache>
                <c:ptCount val="3"/>
                <c:pt idx="0">
                  <c:v>Jan-23</c:v>
                </c:pt>
                <c:pt idx="1">
                  <c:v>Feb-23</c:v>
                </c:pt>
                <c:pt idx="2">
                  <c:v>Mar-23</c:v>
                </c:pt>
              </c:strCache>
            </c:strRef>
          </c:cat>
          <c:val>
            <c:numRef>
              <c:f>'Monthly Revenue Trend'!$B$4:$B$6</c:f>
              <c:numCache>
                <c:formatCode>General</c:formatCode>
                <c:ptCount val="3"/>
                <c:pt idx="0">
                  <c:v>98000</c:v>
                </c:pt>
                <c:pt idx="1">
                  <c:v>104000</c:v>
                </c:pt>
                <c:pt idx="2">
                  <c:v>133000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23-4B57-B186-15C135A17277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9705840"/>
        <c:axId val="369706672"/>
      </c:lineChart>
      <c:catAx>
        <c:axId val="36970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706672"/>
        <c:crosses val="autoZero"/>
        <c:auto val="1"/>
        <c:lblAlgn val="ctr"/>
        <c:lblOffset val="100"/>
        <c:noMultiLvlLbl val="0"/>
      </c:catAx>
      <c:valAx>
        <c:axId val="36970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705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[Sales_Finanace_Data.csv.xlsx]Profit By Product!PivotTable3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</a:t>
            </a:r>
            <a:r>
              <a:rPr lang="en-US" baseline="0"/>
              <a:t> By Product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2.777796004666083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10826771653543"/>
                  <c:h val="0.16302712160979876"/>
                </c:manualLayout>
              </c15:layout>
            </c:ext>
          </c:extLst>
        </c:dLbl>
      </c:pivotFmt>
      <c:pivotFmt>
        <c:idx val="4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6E-2"/>
              <c:y val="-6.48148148148147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22834645669292"/>
                  <c:h val="0.19418489355497229"/>
                </c:manualLayout>
              </c15:layout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7777777777777776E-2"/>
              <c:y val="-6.4814814814814728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22834645669292"/>
                  <c:h val="0.19418489355497229"/>
                </c:manualLayout>
              </c15:layout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05"/>
              <c:y val="2.7777960046660836E-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2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1910826771653543"/>
                  <c:h val="0.16302712160979876"/>
                </c:manualLayout>
              </c15:layout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4.8396284871607576E-2"/>
              <c:y val="-0.12640890764503199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5222826528127284"/>
                  <c:h val="0.24490941738526611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9690856941851343E-2"/>
              <c:y val="0.1690826024663942"/>
            </c:manualLayout>
          </c:layout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noAutofit/>
            </a:bodyPr>
            <a:lstStyle/>
            <a:p>
              <a:pPr>
                <a:defRPr sz="1100" b="1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>
                <c:manualLayout>
                  <c:w val="0.18096382282111639"/>
                  <c:h val="0.30070826241484788"/>
                </c:manualLayout>
              </c15:layout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'Profit By Product'!$B$3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FC1-46A2-B122-853CC294A2A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FC1-46A2-B122-853CC294A2A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FC1-46A2-B122-853CC294A2A0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0FC1-46A2-B122-853CC294A2A0}"/>
                </c:ext>
              </c:extLst>
            </c:dLbl>
            <c:dLbl>
              <c:idx val="1"/>
              <c:layout>
                <c:manualLayout>
                  <c:x val="-4.8396284871607576E-2"/>
                  <c:y val="-0.12640890764503199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5222826528127284"/>
                      <c:h val="0.24490941738526611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FC1-46A2-B122-853CC294A2A0}"/>
                </c:ext>
              </c:extLst>
            </c:dLbl>
            <c:dLbl>
              <c:idx val="2"/>
              <c:layout>
                <c:manualLayout>
                  <c:x val="-3.9690856941851343E-2"/>
                  <c:y val="0.1690826024663942"/>
                </c:manualLayout>
              </c:layout>
              <c:spPr>
                <a:solidFill>
                  <a:sysClr val="window" lastClr="FFFFFF"/>
                </a:solidFill>
                <a:ln>
                  <a:solidFill>
                    <a:sysClr val="windowText" lastClr="000000">
                      <a:lumMod val="25000"/>
                      <a:lumOff val="75000"/>
                    </a:sysClr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100" b="1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8096382282111639"/>
                      <c:h val="0.3007082624148478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0FC1-46A2-B122-853CC294A2A0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'Profit By Product'!$A$4:$A$6</c:f>
              <c:strCache>
                <c:ptCount val="3"/>
                <c:pt idx="0">
                  <c:v>Laptop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'Profit By Product'!$B$4:$B$6</c:f>
              <c:numCache>
                <c:formatCode>General</c:formatCode>
                <c:ptCount val="3"/>
                <c:pt idx="0">
                  <c:v>23000</c:v>
                </c:pt>
                <c:pt idx="1">
                  <c:v>21500</c:v>
                </c:pt>
                <c:pt idx="2">
                  <c:v>9500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C1-46A2-B122-853CC294A2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4</xdr:row>
      <xdr:rowOff>161925</xdr:rowOff>
    </xdr:from>
    <xdr:to>
      <xdr:col>10</xdr:col>
      <xdr:colOff>428625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4</xdr:row>
      <xdr:rowOff>161925</xdr:rowOff>
    </xdr:from>
    <xdr:to>
      <xdr:col>10</xdr:col>
      <xdr:colOff>581025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123825</xdr:colOff>
      <xdr:row>4</xdr:row>
      <xdr:rowOff>161925</xdr:rowOff>
    </xdr:from>
    <xdr:to>
      <xdr:col>10</xdr:col>
      <xdr:colOff>428625</xdr:colOff>
      <xdr:row>19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171450</xdr:colOff>
      <xdr:row>1</xdr:row>
      <xdr:rowOff>1</xdr:rowOff>
    </xdr:from>
    <xdr:to>
      <xdr:col>13</xdr:col>
      <xdr:colOff>171450</xdr:colOff>
      <xdr:row>13</xdr:row>
      <xdr:rowOff>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285749</xdr:colOff>
      <xdr:row>0</xdr:row>
      <xdr:rowOff>190499</xdr:rowOff>
    </xdr:from>
    <xdr:to>
      <xdr:col>18</xdr:col>
      <xdr:colOff>600074</xdr:colOff>
      <xdr:row>12</xdr:row>
      <xdr:rowOff>180975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180975</xdr:colOff>
      <xdr:row>13</xdr:row>
      <xdr:rowOff>38100</xdr:rowOff>
    </xdr:from>
    <xdr:to>
      <xdr:col>11</xdr:col>
      <xdr:colOff>66675</xdr:colOff>
      <xdr:row>22</xdr:row>
      <xdr:rowOff>76199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ales_Finanace_Data.csv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uthor" refreshedDate="46004.892187731479" createdVersion="6" refreshedVersion="6" minRefreshableVersion="3" recordCount="10">
  <cacheSource type="worksheet">
    <worksheetSource ref="A1:H11" sheet="Raw Data" r:id="rId2"/>
  </cacheSource>
  <cacheFields count="8">
    <cacheField name="Order_ID" numFmtId="1">
      <sharedItems containsSemiMixedTypes="0" containsString="0" containsNumber="1" containsInteger="1" minValue="1001" maxValue="1010"/>
    </cacheField>
    <cacheField name="Date" numFmtId="14">
      <sharedItems containsSemiMixedTypes="0" containsNonDate="0" containsDate="1" containsString="0" minDate="2023-01-05T00:00:00" maxDate="2023-03-13T00:00:00"/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Mobile"/>
        <s v="Laptop"/>
        <s v="Tablet"/>
      </sharedItems>
    </cacheField>
    <cacheField name="Revenue" numFmtId="2">
      <sharedItems containsSemiMixedTypes="0" containsString="0" containsNumber="1" containsInteger="1" minValue="18000" maxValue="60000"/>
    </cacheField>
    <cacheField name="Cost" numFmtId="2">
      <sharedItems containsSemiMixedTypes="0" containsString="0" containsNumber="1" containsInteger="1" minValue="15000" maxValue="52000"/>
    </cacheField>
    <cacheField name="gross profit" numFmtId="2">
      <sharedItems containsSemiMixedTypes="0" containsString="0" containsNumber="1" containsInteger="1" minValue="3000" maxValue="8000"/>
    </cacheField>
    <cacheField name="Months" numFmtId="0">
      <sharedItems count="3">
        <s v="Jan-23"/>
        <s v="Feb-23"/>
        <s v="Mar-2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001"/>
    <d v="2023-01-05T00:00:00"/>
    <x v="0"/>
    <x v="0"/>
    <n v="25000"/>
    <n v="20000"/>
    <n v="5000"/>
    <x v="0"/>
  </r>
  <r>
    <n v="1002"/>
    <d v="2023-01-07T00:00:00"/>
    <x v="1"/>
    <x v="1"/>
    <n v="55000"/>
    <n v="48000"/>
    <n v="7000"/>
    <x v="0"/>
  </r>
  <r>
    <n v="1003"/>
    <d v="2023-01-10T00:00:00"/>
    <x v="2"/>
    <x v="2"/>
    <n v="18000"/>
    <n v="15000"/>
    <n v="3000"/>
    <x v="0"/>
  </r>
  <r>
    <n v="1004"/>
    <d v="2023-02-03T00:00:00"/>
    <x v="3"/>
    <x v="0"/>
    <n v="24000"/>
    <n v="19000"/>
    <n v="5000"/>
    <x v="1"/>
  </r>
  <r>
    <n v="1005"/>
    <d v="2023-02-10T00:00:00"/>
    <x v="0"/>
    <x v="1"/>
    <n v="60000"/>
    <n v="52000"/>
    <n v="8000"/>
    <x v="1"/>
  </r>
  <r>
    <n v="1006"/>
    <d v="2023-02-15T00:00:00"/>
    <x v="2"/>
    <x v="2"/>
    <n v="20000"/>
    <n v="17000"/>
    <n v="3000"/>
    <x v="1"/>
  </r>
  <r>
    <n v="1007"/>
    <d v="2023-03-01T00:00:00"/>
    <x v="1"/>
    <x v="0"/>
    <n v="27000"/>
    <n v="21000"/>
    <n v="6000"/>
    <x v="2"/>
  </r>
  <r>
    <n v="1008"/>
    <d v="2023-03-08T00:00:00"/>
    <x v="3"/>
    <x v="1"/>
    <n v="58000"/>
    <n v="50000"/>
    <n v="8000"/>
    <x v="2"/>
  </r>
  <r>
    <n v="1009"/>
    <d v="2023-03-10T00:00:00"/>
    <x v="0"/>
    <x v="2"/>
    <n v="22000"/>
    <n v="18500"/>
    <n v="3500"/>
    <x v="2"/>
  </r>
  <r>
    <n v="1010"/>
    <d v="2023-03-12T00:00:00"/>
    <x v="2"/>
    <x v="0"/>
    <n v="26000"/>
    <n v="20500"/>
    <n v="550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A3:B7" firstHeaderRow="1" firstDataRow="1" firstDataCol="1"/>
  <pivotFields count="8">
    <pivotField numFmtId="1" showAll="0"/>
    <pivotField numFmtId="14" showAll="0"/>
    <pivotField axis="axisRow" showAll="0">
      <items count="5">
        <item x="0"/>
        <item x="2"/>
        <item x="3"/>
        <item x="1"/>
        <item t="default"/>
      </items>
    </pivotField>
    <pivotField showAll="0"/>
    <pivotField numFmtId="2" showAll="0"/>
    <pivotField numFmtId="2" showAll="0"/>
    <pivotField dataField="1" numFmtId="2" showAll="0"/>
    <pivotField showAll="0"/>
  </pivotFields>
  <rowFields count="1">
    <field x="2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gross profit" fld="6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3">
  <location ref="A3:B6" firstHeaderRow="1" firstDataRow="1" firstDataCol="1"/>
  <pivotFields count="8">
    <pivotField numFmtId="1" showAll="0"/>
    <pivotField numFmtId="14" showAll="0"/>
    <pivotField showAll="0"/>
    <pivotField showAll="0"/>
    <pivotField dataField="1" numFmtId="2" showAll="0"/>
    <pivotField numFmtId="2" showAll="0"/>
    <pivotField numFmtId="2" showAll="0"/>
    <pivotField axis="axisRow" showAll="0" sortType="ascending">
      <items count="4"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3">
    <i>
      <x v="1"/>
    </i>
    <i>
      <x/>
    </i>
    <i>
      <x v="2"/>
    </i>
  </rowItems>
  <colItems count="1">
    <i/>
  </colItems>
  <dataFields count="1">
    <dataField name="Sum of Revenue" fld="4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rowGrandTotals="0" colGrandTotals="0" itemPrintTitles="1" createdVersion="6" indent="0" outline="1" outlineData="1" multipleFieldFilters="0" chartFormat="5">
  <location ref="A3:B6" firstHeaderRow="1" firstDataRow="1" firstDataCol="1"/>
  <pivotFields count="8">
    <pivotField numFmtId="1" showAll="0"/>
    <pivotField numFmtId="14" showAll="0"/>
    <pivotField showAll="0"/>
    <pivotField axis="axisRow" showAll="0">
      <items count="4">
        <item x="1"/>
        <item x="0"/>
        <item x="2"/>
        <item t="default"/>
      </items>
    </pivotField>
    <pivotField numFmtId="2" showAll="0"/>
    <pivotField numFmtId="2" showAll="0"/>
    <pivotField dataField="1" numFmtId="2" showAll="0"/>
    <pivotField showAl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gross profit" fld="6" baseField="0" baseItem="0"/>
  </dataFields>
  <chartFormats count="8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O11" sqref="O11"/>
    </sheetView>
  </sheetViews>
  <sheetFormatPr defaultRowHeight="15" x14ac:dyDescent="0.25"/>
  <cols>
    <col min="1" max="1" width="13.140625" bestFit="1" customWidth="1"/>
    <col min="2" max="2" width="17.85546875" bestFit="1" customWidth="1"/>
  </cols>
  <sheetData>
    <row r="3" spans="1:2" x14ac:dyDescent="0.25">
      <c r="A3" s="2" t="s">
        <v>18</v>
      </c>
      <c r="B3" t="s">
        <v>19</v>
      </c>
    </row>
    <row r="4" spans="1:2" x14ac:dyDescent="0.25">
      <c r="A4" s="3" t="s">
        <v>6</v>
      </c>
      <c r="B4" s="4">
        <v>16500</v>
      </c>
    </row>
    <row r="5" spans="1:2" x14ac:dyDescent="0.25">
      <c r="A5" s="3" t="s">
        <v>10</v>
      </c>
      <c r="B5" s="4">
        <v>11500</v>
      </c>
    </row>
    <row r="6" spans="1:2" x14ac:dyDescent="0.25">
      <c r="A6" s="3" t="s">
        <v>12</v>
      </c>
      <c r="B6" s="4">
        <v>13000</v>
      </c>
    </row>
    <row r="7" spans="1:2" x14ac:dyDescent="0.25">
      <c r="A7" s="3" t="s">
        <v>8</v>
      </c>
      <c r="B7" s="4">
        <v>13000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5.5703125" bestFit="1" customWidth="1"/>
  </cols>
  <sheetData>
    <row r="3" spans="1:2" x14ac:dyDescent="0.25">
      <c r="A3" s="2" t="s">
        <v>18</v>
      </c>
      <c r="B3" t="s">
        <v>23</v>
      </c>
    </row>
    <row r="4" spans="1:2" x14ac:dyDescent="0.25">
      <c r="A4" s="3" t="s">
        <v>21</v>
      </c>
      <c r="B4" s="4">
        <v>98000</v>
      </c>
    </row>
    <row r="5" spans="1:2" x14ac:dyDescent="0.25">
      <c r="A5" s="3" t="s">
        <v>20</v>
      </c>
      <c r="B5" s="4">
        <v>104000</v>
      </c>
    </row>
    <row r="6" spans="1:2" x14ac:dyDescent="0.25">
      <c r="A6" s="3" t="s">
        <v>22</v>
      </c>
      <c r="B6" s="4">
        <v>133000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6"/>
  <sheetViews>
    <sheetView workbookViewId="0">
      <selection activeCell="A3" sqref="A3:B6"/>
    </sheetView>
  </sheetViews>
  <sheetFormatPr defaultRowHeight="15" x14ac:dyDescent="0.25"/>
  <cols>
    <col min="1" max="1" width="13.140625" customWidth="1"/>
    <col min="2" max="2" width="17.85546875" bestFit="1" customWidth="1"/>
  </cols>
  <sheetData>
    <row r="3" spans="1:2" x14ac:dyDescent="0.25">
      <c r="A3" s="2" t="s">
        <v>18</v>
      </c>
      <c r="B3" t="s">
        <v>19</v>
      </c>
    </row>
    <row r="4" spans="1:2" x14ac:dyDescent="0.25">
      <c r="A4" s="3" t="s">
        <v>9</v>
      </c>
      <c r="B4" s="4">
        <v>23000</v>
      </c>
    </row>
    <row r="5" spans="1:2" x14ac:dyDescent="0.25">
      <c r="A5" s="3" t="s">
        <v>7</v>
      </c>
      <c r="B5" s="4">
        <v>21500</v>
      </c>
    </row>
    <row r="6" spans="1:2" x14ac:dyDescent="0.25">
      <c r="A6" s="3" t="s">
        <v>11</v>
      </c>
      <c r="B6" s="4">
        <v>9500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H15" sqref="H15"/>
    </sheetView>
  </sheetViews>
  <sheetFormatPr defaultRowHeight="15" x14ac:dyDescent="0.25"/>
  <cols>
    <col min="1" max="1" width="9" bestFit="1" customWidth="1"/>
    <col min="2" max="2" width="10.42578125" bestFit="1" customWidth="1"/>
    <col min="3" max="3" width="7.140625" bestFit="1" customWidth="1"/>
    <col min="4" max="4" width="13.140625" bestFit="1" customWidth="1"/>
    <col min="5" max="6" width="9.5703125" bestFit="1" customWidth="1"/>
    <col min="7" max="7" width="11" bestFit="1" customWidth="1"/>
  </cols>
  <sheetData>
    <row r="1" spans="1:8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15</v>
      </c>
      <c r="H1" s="5" t="s">
        <v>17</v>
      </c>
    </row>
    <row r="2" spans="1:8" x14ac:dyDescent="0.25">
      <c r="A2" s="6">
        <v>1001</v>
      </c>
      <c r="B2" s="7">
        <v>44931</v>
      </c>
      <c r="C2" s="5" t="s">
        <v>6</v>
      </c>
      <c r="D2" s="5" t="s">
        <v>7</v>
      </c>
      <c r="E2" s="8">
        <v>25000</v>
      </c>
      <c r="F2" s="8">
        <v>20000</v>
      </c>
      <c r="G2" s="8">
        <f>$E2-$F2</f>
        <v>5000</v>
      </c>
      <c r="H2" s="5" t="str">
        <f>TEXT($B2,"mmm-yy")</f>
        <v>Jan-23</v>
      </c>
    </row>
    <row r="3" spans="1:8" x14ac:dyDescent="0.25">
      <c r="A3" s="6">
        <v>1002</v>
      </c>
      <c r="B3" s="7">
        <v>44933</v>
      </c>
      <c r="C3" s="5" t="s">
        <v>8</v>
      </c>
      <c r="D3" s="5" t="s">
        <v>9</v>
      </c>
      <c r="E3" s="8">
        <v>55000</v>
      </c>
      <c r="F3" s="8">
        <v>48000</v>
      </c>
      <c r="G3" s="8">
        <f t="shared" ref="G3:G11" si="0">$E3-$F3</f>
        <v>7000</v>
      </c>
      <c r="H3" s="5" t="str">
        <f t="shared" ref="H3:H11" si="1">TEXT($B3,"mmm-yy")</f>
        <v>Jan-23</v>
      </c>
    </row>
    <row r="4" spans="1:8" x14ac:dyDescent="0.25">
      <c r="A4" s="6">
        <v>1003</v>
      </c>
      <c r="B4" s="7">
        <v>44936</v>
      </c>
      <c r="C4" s="5" t="s">
        <v>10</v>
      </c>
      <c r="D4" s="5" t="s">
        <v>11</v>
      </c>
      <c r="E4" s="8">
        <v>18000</v>
      </c>
      <c r="F4" s="8">
        <v>15000</v>
      </c>
      <c r="G4" s="8">
        <f t="shared" si="0"/>
        <v>3000</v>
      </c>
      <c r="H4" s="5" t="str">
        <f t="shared" si="1"/>
        <v>Jan-23</v>
      </c>
    </row>
    <row r="5" spans="1:8" x14ac:dyDescent="0.25">
      <c r="A5" s="6">
        <v>1004</v>
      </c>
      <c r="B5" s="7">
        <v>44960</v>
      </c>
      <c r="C5" s="5" t="s">
        <v>12</v>
      </c>
      <c r="D5" s="5" t="s">
        <v>7</v>
      </c>
      <c r="E5" s="8">
        <v>24000</v>
      </c>
      <c r="F5" s="8">
        <v>19000</v>
      </c>
      <c r="G5" s="8">
        <f t="shared" si="0"/>
        <v>5000</v>
      </c>
      <c r="H5" s="5" t="str">
        <f t="shared" si="1"/>
        <v>Feb-23</v>
      </c>
    </row>
    <row r="6" spans="1:8" x14ac:dyDescent="0.25">
      <c r="A6" s="6">
        <v>1005</v>
      </c>
      <c r="B6" s="7">
        <v>44967</v>
      </c>
      <c r="C6" s="5" t="s">
        <v>6</v>
      </c>
      <c r="D6" s="5" t="s">
        <v>9</v>
      </c>
      <c r="E6" s="8">
        <v>60000</v>
      </c>
      <c r="F6" s="8">
        <v>52000</v>
      </c>
      <c r="G6" s="8">
        <f t="shared" si="0"/>
        <v>8000</v>
      </c>
      <c r="H6" s="5" t="str">
        <f t="shared" si="1"/>
        <v>Feb-23</v>
      </c>
    </row>
    <row r="7" spans="1:8" x14ac:dyDescent="0.25">
      <c r="A7" s="6">
        <v>1006</v>
      </c>
      <c r="B7" s="7">
        <v>44972</v>
      </c>
      <c r="C7" s="5" t="s">
        <v>10</v>
      </c>
      <c r="D7" s="5" t="s">
        <v>11</v>
      </c>
      <c r="E7" s="8">
        <v>20000</v>
      </c>
      <c r="F7" s="8">
        <v>17000</v>
      </c>
      <c r="G7" s="8">
        <f t="shared" si="0"/>
        <v>3000</v>
      </c>
      <c r="H7" s="5" t="str">
        <f t="shared" si="1"/>
        <v>Feb-23</v>
      </c>
    </row>
    <row r="8" spans="1:8" x14ac:dyDescent="0.25">
      <c r="A8" s="6">
        <v>1007</v>
      </c>
      <c r="B8" s="7">
        <v>44986</v>
      </c>
      <c r="C8" s="5" t="s">
        <v>8</v>
      </c>
      <c r="D8" s="5" t="s">
        <v>7</v>
      </c>
      <c r="E8" s="8">
        <v>27000</v>
      </c>
      <c r="F8" s="8">
        <v>21000</v>
      </c>
      <c r="G8" s="8">
        <f t="shared" si="0"/>
        <v>6000</v>
      </c>
      <c r="H8" s="5" t="str">
        <f t="shared" si="1"/>
        <v>Mar-23</v>
      </c>
    </row>
    <row r="9" spans="1:8" x14ac:dyDescent="0.25">
      <c r="A9" s="6">
        <v>1008</v>
      </c>
      <c r="B9" s="7">
        <v>44993</v>
      </c>
      <c r="C9" s="5" t="s">
        <v>12</v>
      </c>
      <c r="D9" s="5" t="s">
        <v>9</v>
      </c>
      <c r="E9" s="8">
        <v>58000</v>
      </c>
      <c r="F9" s="8">
        <v>50000</v>
      </c>
      <c r="G9" s="8">
        <f t="shared" si="0"/>
        <v>8000</v>
      </c>
      <c r="H9" s="5" t="str">
        <f t="shared" si="1"/>
        <v>Mar-23</v>
      </c>
    </row>
    <row r="10" spans="1:8" x14ac:dyDescent="0.25">
      <c r="A10" s="6">
        <v>1009</v>
      </c>
      <c r="B10" s="7">
        <v>44995</v>
      </c>
      <c r="C10" s="5" t="s">
        <v>6</v>
      </c>
      <c r="D10" s="5" t="s">
        <v>11</v>
      </c>
      <c r="E10" s="8">
        <v>22000</v>
      </c>
      <c r="F10" s="8">
        <v>18500</v>
      </c>
      <c r="G10" s="8">
        <f t="shared" si="0"/>
        <v>3500</v>
      </c>
      <c r="H10" s="5" t="str">
        <f t="shared" si="1"/>
        <v>Mar-23</v>
      </c>
    </row>
    <row r="11" spans="1:8" x14ac:dyDescent="0.25">
      <c r="A11" s="6">
        <v>1010</v>
      </c>
      <c r="B11" s="7">
        <v>44997</v>
      </c>
      <c r="C11" s="5" t="s">
        <v>10</v>
      </c>
      <c r="D11" s="5" t="s">
        <v>7</v>
      </c>
      <c r="E11" s="8">
        <v>26000</v>
      </c>
      <c r="F11" s="8">
        <v>20500</v>
      </c>
      <c r="G11" s="8">
        <f t="shared" si="0"/>
        <v>5500</v>
      </c>
      <c r="H11" s="5" t="str">
        <f t="shared" si="1"/>
        <v>Mar-23</v>
      </c>
    </row>
    <row r="12" spans="1:8" x14ac:dyDescent="0.25">
      <c r="D12" t="s">
        <v>13</v>
      </c>
      <c r="E12" s="1">
        <f>SUM($E2:$E11)</f>
        <v>335000</v>
      </c>
    </row>
    <row r="13" spans="1:8" x14ac:dyDescent="0.25">
      <c r="D13" t="s">
        <v>14</v>
      </c>
      <c r="E13" s="1">
        <f>SUM($F2:$F12)</f>
        <v>281000</v>
      </c>
    </row>
    <row r="14" spans="1:8" x14ac:dyDescent="0.25">
      <c r="D14" t="s">
        <v>15</v>
      </c>
      <c r="E14" s="1">
        <f>E12-E13</f>
        <v>54000</v>
      </c>
    </row>
    <row r="15" spans="1:8" x14ac:dyDescent="0.25">
      <c r="D15" t="s">
        <v>16</v>
      </c>
      <c r="E15" s="9">
        <f>(E14/E12)*100</f>
        <v>16.119402985074625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7" sqref="A1:A7"/>
    </sheetView>
  </sheetViews>
  <sheetFormatPr defaultRowHeight="15" x14ac:dyDescent="0.25"/>
  <cols>
    <col min="1" max="1" width="13.140625" bestFit="1" customWidth="1"/>
  </cols>
  <sheetData>
    <row r="1" spans="1:1" ht="18.75" x14ac:dyDescent="0.3">
      <c r="A1" s="10" t="s">
        <v>24</v>
      </c>
    </row>
    <row r="2" spans="1:1" x14ac:dyDescent="0.25">
      <c r="A2" t="s">
        <v>25</v>
      </c>
    </row>
    <row r="3" spans="1:1" x14ac:dyDescent="0.25">
      <c r="A3" t="s">
        <v>27</v>
      </c>
    </row>
    <row r="4" spans="1:1" x14ac:dyDescent="0.25">
      <c r="A4" t="s">
        <v>26</v>
      </c>
    </row>
    <row r="5" spans="1:1" x14ac:dyDescent="0.25">
      <c r="A5" t="s">
        <v>28</v>
      </c>
    </row>
    <row r="6" spans="1:1" x14ac:dyDescent="0.25">
      <c r="A6" t="s">
        <v>29</v>
      </c>
    </row>
    <row r="7" spans="1:1" x14ac:dyDescent="0.25">
      <c r="A7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Profit By Region</vt:lpstr>
      <vt:lpstr>Monthly Revenue Trend</vt:lpstr>
      <vt:lpstr>Profit By Product</vt:lpstr>
      <vt:lpstr>Raw Data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2025-12-13T16:56:25Z</dcterms:modified>
</cp:coreProperties>
</file>